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rmur\Desktop\MIS\Business Inteligence\"/>
    </mc:Choice>
  </mc:AlternateContent>
  <xr:revisionPtr revIDLastSave="0" documentId="8_{DFF42984-43B0-4821-AE06-8F72A37BE4A0}" xr6:coauthVersionLast="47" xr6:coauthVersionMax="47" xr10:uidLastSave="{00000000-0000-0000-0000-000000000000}"/>
  <bookViews>
    <workbookView xWindow="7776" yWindow="3360" windowWidth="17280" windowHeight="8880" activeTab="1" xr2:uid="{00000000-000D-0000-FFFF-FFFF00000000}"/>
  </bookViews>
  <sheets>
    <sheet name="Answer Report 1" sheetId="2" r:id="rId1"/>
    <sheet name="Sheet1" sheetId="1" r:id="rId2"/>
  </sheets>
  <definedNames>
    <definedName name="solver_adj" localSheetId="1" hidden="1">Sheet1!$H$3:$H$6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Sheet1!$C$7:$F$7</definedName>
    <definedName name="solver_lhs2" localSheetId="1" hidden="1">Sheet1!$H$3:$H$6</definedName>
    <definedName name="solver_lhs3" localSheetId="1" hidden="1">Sheet1!$E$7</definedName>
    <definedName name="solver_lhs4" localSheetId="1" hidden="1">Sheet1!$F$7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Sheet1!$G$7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4</definedName>
    <definedName name="solver_rel3" localSheetId="1" hidden="1">3</definedName>
    <definedName name="solver_rel4" localSheetId="1" hidden="1">3</definedName>
    <definedName name="solver_rhs1" localSheetId="1" hidden="1">Sheet1!$C$8:$F$8</definedName>
    <definedName name="solver_rhs2" localSheetId="1" hidden="1">"integer"</definedName>
    <definedName name="solver_rhs3" localSheetId="1" hidden="1">Sheet1!$E$8</definedName>
    <definedName name="solver_rhs4" localSheetId="1" hidden="1">Sheet1!$F$8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C7" i="1"/>
</calcChain>
</file>

<file path=xl/sharedStrings.xml><?xml version="1.0" encoding="utf-8"?>
<sst xmlns="http://schemas.openxmlformats.org/spreadsheetml/2006/main" count="79" uniqueCount="66">
  <si>
    <t>Cost</t>
  </si>
  <si>
    <t>Total</t>
  </si>
  <si>
    <t>Quantity</t>
  </si>
  <si>
    <t>Min. Constraints</t>
  </si>
  <si>
    <t>Vitamin-A</t>
  </si>
  <si>
    <t>Gummies</t>
  </si>
  <si>
    <t>Tablets</t>
  </si>
  <si>
    <t>Capsules</t>
  </si>
  <si>
    <t>Syrup</t>
  </si>
  <si>
    <t>Vegetables</t>
  </si>
  <si>
    <t>Fruit</t>
  </si>
  <si>
    <t>Iron</t>
  </si>
  <si>
    <t>(in mcg)</t>
  </si>
  <si>
    <t>(in mg)</t>
  </si>
  <si>
    <t>(in gram)</t>
  </si>
  <si>
    <t>Total Points: 32</t>
  </si>
  <si>
    <t>Microsoft Excel 16.0 Answer Report</t>
  </si>
  <si>
    <t>Worksheet: [A10 SolverAssignment Spring25 NH.xlsx]Sheet1</t>
  </si>
  <si>
    <t>Report Created: 2/22/2025 11:25:55 PM</t>
  </si>
  <si>
    <t>Result: Solver found a solution.  All Constraints and optimality conditions are satisfied.</t>
  </si>
  <si>
    <t>Solver Engine</t>
  </si>
  <si>
    <t>Engine: Simplex LP</t>
  </si>
  <si>
    <t>Solution Time: 0.015 Seconds.</t>
  </si>
  <si>
    <t>Iterations: 3 Subproblems: 14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</si>
  <si>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</si>
  <si>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</si>
  <si>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</si>
  <si>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</si>
  <si>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</si>
  <si>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</si>
  <si>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</si>
  <si>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</si>
  <si>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</si>
  <si>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</si>
  <si>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</si>
  <si>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</si>
  <si>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</si>
  <si>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</si>
  <si>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</si>
  <si>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$G$7</t>
  </si>
  <si>
    <t>Total Cost</t>
  </si>
  <si>
    <t>$H$3</t>
  </si>
  <si>
    <t>Gummies Quantity</t>
  </si>
  <si>
    <t>$H$4</t>
  </si>
  <si>
    <t>Tablets Quantity</t>
  </si>
  <si>
    <t>$H$5</t>
  </si>
  <si>
    <t>Capsules Quantity</t>
  </si>
  <si>
    <t>$H$6</t>
  </si>
  <si>
    <t>Syrup Quantity</t>
  </si>
  <si>
    <t>$C$7</t>
  </si>
  <si>
    <t>Total Vitamin-A</t>
  </si>
  <si>
    <t>$C$7&gt;=$C$8</t>
  </si>
  <si>
    <t>Not Binding</t>
  </si>
  <si>
    <t>$D$7</t>
  </si>
  <si>
    <t>Total Vegetables</t>
  </si>
  <si>
    <t>$D$7&gt;=$D$8</t>
  </si>
  <si>
    <t>$E$7</t>
  </si>
  <si>
    <t>Total Fruit</t>
  </si>
  <si>
    <t>$E$7&gt;=$E$8</t>
  </si>
  <si>
    <t>Binding</t>
  </si>
  <si>
    <t>$F$7</t>
  </si>
  <si>
    <t>Total Iron</t>
  </si>
  <si>
    <t>$F$7&gt;=$F$8</t>
  </si>
  <si>
    <t>$H$3:$H$6=Integer</t>
  </si>
  <si>
    <t>$H$3:$H$6</t>
  </si>
  <si>
    <t>$C$7:$F$7 &gt;= $C$8:$F$8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</si>
</sst>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2" applyNumberFormat="0" applyAlignment="0" applyProtection="0"/>
  </cellStyleXfs>
  <cellXfs count="22">
    <xf numFmtId="0" fontId="0" fillId="0" borderId="0" xfId="0"/>
    <xf numFmtId="8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8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0" fontId="3" fillId="5" borderId="1" xfId="2" applyBorder="1" applyAlignment="1">
      <alignment wrapText="1"/>
    </xf>
    <xf numFmtId="0" fontId="4" fillId="6" borderId="2" xfId="3"/>
    <xf numFmtId="0" fontId="2" fillId="0" borderId="1" xfId="1" applyFill="1" applyBorder="1"/>
    <xf numFmtId="0" fontId="5" fillId="0" borderId="1" xfId="1" applyFont="1" applyFill="1" applyBorder="1"/>
    <xf numFmtId="0" fontId="6" fillId="0" borderId="1" xfId="0" applyFont="1" applyBorder="1" applyAlignment="1">
      <alignment horizontal="center"/>
    </xf>
    <xf numFmtId="0" fontId="1" fillId="0" borderId="0" xfId="0" applyFont="1"/>
    <xf numFmtId="0" fontId="0" fillId="0" borderId="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0" xfId="0" applyNumberFormat="1" applyFill="1" applyBorder="1" applyAlignment="1"/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</cellXfs>
  <cellStyles count="4"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10</xdr:row>
      <xdr:rowOff>76201</xdr:rowOff>
    </xdr:from>
    <xdr:to>
      <xdr:col>7</xdr:col>
      <xdr:colOff>323849</xdr:colOff>
      <xdr:row>14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78E917-E95A-0F94-10BA-7BEFC30F1BED}"/>
            </a:ext>
          </a:extLst>
        </xdr:cNvPr>
        <xdr:cNvSpPr txBox="1"/>
      </xdr:nvSpPr>
      <xdr:spPr>
        <a:xfrm>
          <a:off x="695324" y="1935481"/>
          <a:ext cx="4650105" cy="6934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*How to Interpret?</a:t>
          </a:r>
        </a:p>
        <a:p>
          <a:r>
            <a:rPr lang="en-US" sz="1100" i="1"/>
            <a:t>The table shows that each of the Gummies contains</a:t>
          </a:r>
          <a:r>
            <a:rPr lang="en-US" sz="1100" i="1" baseline="0"/>
            <a:t> </a:t>
          </a:r>
          <a:r>
            <a:rPr lang="en-US" sz="1100" i="1"/>
            <a:t>250</a:t>
          </a:r>
          <a:r>
            <a:rPr lang="en-US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mcg of Vitamin-A, 3 grams of Vegetables, 2 grams of Fruit, and 2 mg of Iron and costs $0.5 each.</a:t>
          </a:r>
          <a:endParaRPr lang="en-US" sz="1100" i="1"/>
        </a:p>
      </xdr:txBody>
    </xdr:sp>
    <xdr:clientData/>
  </xdr:twoCellAnchor>
  <xdr:twoCellAnchor editAs="oneCell">
    <xdr:from>
      <xdr:col>1</xdr:col>
      <xdr:colOff>407670</xdr:colOff>
      <xdr:row>15</xdr:row>
      <xdr:rowOff>81915</xdr:rowOff>
    </xdr:from>
    <xdr:to>
      <xdr:col>6</xdr:col>
      <xdr:colOff>39154</xdr:colOff>
      <xdr:row>35</xdr:row>
      <xdr:rowOff>132528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ABBCBE-99D1-4454-9BB5-8ECD9CCE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" y="2977515"/>
          <a:ext cx="3346234" cy="3860613"/>
        </a:xfrm>
        <a:prstGeom prst="rect">
          <a:avLst/>
        </a:prstGeom>
      </xdr:spPr>
    </xdr:pic>
    <xdr:clientData/>
  </xdr:twoCellAnchor>
  <xdr:twoCellAnchor>
    <xdr:from>
      <xdr:col>10</xdr:col>
      <xdr:colOff>609598</xdr:colOff>
      <xdr:row>3</xdr:row>
      <xdr:rowOff>2240</xdr:rowOff>
    </xdr:from>
    <xdr:to>
      <xdr:col>18</xdr:col>
      <xdr:colOff>552449</xdr:colOff>
      <xdr:row>29</xdr:row>
      <xdr:rowOff>134471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57BA28E-6429-4E45-A331-25987F6512E7}"/>
            </a:ext>
          </a:extLst>
        </xdr:cNvPr>
        <xdr:cNvSpPr/>
      </xdr:nvSpPr>
      <xdr:spPr>
        <a:xfrm>
          <a:off x="7467598" y="575981"/>
          <a:ext cx="4819651" cy="479387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1. Decision</a:t>
          </a:r>
          <a:r>
            <a:rPr lang="en-US" sz="1100" b="1" baseline="0"/>
            <a:t> Variables (not hardcoded; generated by Solver)</a:t>
          </a:r>
          <a:r>
            <a:rPr lang="en-US" sz="1100" baseline="0"/>
            <a:t>: </a:t>
          </a:r>
          <a:r>
            <a:rPr lang="en-US" sz="1100" b="1" baseline="0">
              <a:solidFill>
                <a:srgbClr val="FF0000"/>
              </a:solidFill>
            </a:rPr>
            <a:t>4 points</a:t>
          </a:r>
        </a:p>
        <a:p>
          <a:pPr algn="l"/>
          <a:r>
            <a:rPr lang="en-US" sz="1100" baseline="0"/>
            <a:t>a. Gummies (H3) = 2</a:t>
          </a:r>
        </a:p>
        <a:p>
          <a:pPr algn="l"/>
          <a:r>
            <a:rPr lang="en-US" sz="1100" baseline="0"/>
            <a:t>b. Tablets (H4) = 1</a:t>
          </a:r>
        </a:p>
        <a:p>
          <a:pPr algn="l"/>
          <a:r>
            <a:rPr lang="en-US" sz="1100" baseline="0"/>
            <a:t>c. Capsules (H5) = 0</a:t>
          </a:r>
        </a:p>
        <a:p>
          <a:pPr algn="l"/>
          <a:r>
            <a:rPr lang="en-US" sz="1100" baseline="0"/>
            <a:t>d. Syrup (H6) = 1</a:t>
          </a:r>
        </a:p>
        <a:p>
          <a:pPr algn="l"/>
          <a:endParaRPr lang="en-US" sz="1100" baseline="0"/>
        </a:p>
        <a:p>
          <a:pPr algn="l"/>
          <a:r>
            <a:rPr lang="en-US" sz="1100" b="1" baseline="0"/>
            <a:t>2. Objective Function</a:t>
          </a:r>
          <a:r>
            <a:rPr lang="en-US" sz="1100" baseline="0"/>
            <a:t>: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 points</a:t>
          </a:r>
          <a:endParaRPr lang="en-US" sz="1100" baseline="0">
            <a:solidFill>
              <a:srgbClr val="FF0000"/>
            </a:solidFill>
          </a:endParaRPr>
        </a:p>
        <a:p>
          <a:pPr algn="l"/>
          <a:r>
            <a:rPr lang="en-US" sz="1100" baseline="0"/>
            <a:t>Minimize=&gt;Cost=G*.5+T*.2+C*.3+S*.8</a:t>
          </a:r>
        </a:p>
        <a:p>
          <a:pPr algn="l"/>
          <a:endParaRPr lang="en-US" sz="1100" baseline="0"/>
        </a:p>
        <a:p>
          <a:pPr algn="l"/>
          <a:r>
            <a:rPr lang="en-US" sz="1100" b="1" baseline="0"/>
            <a:t>3. Constraints: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 points</a:t>
          </a:r>
          <a:endParaRPr lang="en-US" sz="1100" b="1" baseline="0">
            <a:solidFill>
              <a:srgbClr val="FF0000"/>
            </a:solidFill>
          </a:endParaRPr>
        </a:p>
        <a:p>
          <a:pPr algn="l"/>
          <a:r>
            <a:rPr lang="en-US" sz="1100"/>
            <a:t>a. Vitamin A</a:t>
          </a:r>
          <a:r>
            <a:rPr lang="en-US" sz="1100" baseline="0"/>
            <a:t> &gt;= 600</a:t>
          </a:r>
          <a:endParaRPr lang="en-US" sz="1100"/>
        </a:p>
        <a:p>
          <a:pPr algn="l"/>
          <a:r>
            <a:rPr lang="en-US" sz="1100"/>
            <a:t>b. Vegetables</a:t>
          </a:r>
          <a:r>
            <a:rPr lang="en-US" sz="1100" baseline="0"/>
            <a:t> &gt;=7</a:t>
          </a:r>
          <a:endParaRPr lang="en-US" sz="1100"/>
        </a:p>
        <a:p>
          <a:pPr algn="l"/>
          <a:r>
            <a:rPr lang="en-US" sz="1100"/>
            <a:t>c. Fruit</a:t>
          </a:r>
          <a:r>
            <a:rPr lang="en-US" sz="1100" baseline="0"/>
            <a:t> &gt;=10</a:t>
          </a:r>
          <a:endParaRPr lang="en-US" sz="1100"/>
        </a:p>
        <a:p>
          <a:pPr algn="l"/>
          <a:r>
            <a:rPr lang="en-US" sz="1100"/>
            <a:t>d.</a:t>
          </a:r>
          <a:r>
            <a:rPr lang="en-US" sz="1100" baseline="0"/>
            <a:t> Iron &gt;=8</a:t>
          </a:r>
        </a:p>
        <a:p>
          <a:pPr algn="l"/>
          <a:r>
            <a:rPr lang="en-US" sz="1100" baseline="0"/>
            <a:t>e. H3-H6 (Quantities) -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Quantities are integer.</a:t>
          </a:r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 b="1" baseline="0"/>
            <a:t>4. Optimum quantities &amp; Costs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(not hardcoded; generated by Solver)</a:t>
          </a:r>
          <a:r>
            <a:rPr lang="en-US" sz="1100" b="1" baseline="0"/>
            <a:t>: </a:t>
          </a:r>
          <a:r>
            <a:rPr lang="en-US" sz="1100" b="1" baseline="0">
              <a:solidFill>
                <a:srgbClr val="FF0000"/>
              </a:solidFill>
            </a:rPr>
            <a:t>5 points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Vitamin A (C7)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=1100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Vegetables (D7)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=9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Fruit (E7) =10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Iron (F7) =9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Cost (G7) = 2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Provide screenshot of Solver page (with all necessary input):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 Points</a:t>
          </a:r>
          <a:endParaRPr lang="en-US" sz="1100" b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en-US" b="1">
            <a:effectLst/>
          </a:endParaRPr>
        </a:p>
        <a:p>
          <a:r>
            <a:rPr lang="en-US" b="1">
              <a:effectLst/>
            </a:rPr>
            <a:t>6. Provide </a:t>
          </a:r>
          <a:r>
            <a:rPr lang="en-US" b="1" u="sng">
              <a:effectLst/>
            </a:rPr>
            <a:t>Answer Report 1</a:t>
          </a:r>
          <a:r>
            <a:rPr lang="en-US" b="1" u="none">
              <a:effectLst/>
            </a:rPr>
            <a:t> in</a:t>
          </a:r>
          <a:r>
            <a:rPr lang="en-US" b="1" u="none" baseline="0">
              <a:effectLst/>
            </a:rPr>
            <a:t> a different sheet </a:t>
          </a:r>
          <a:r>
            <a:rPr lang="en-US" b="1" u="none">
              <a:effectLst/>
            </a:rPr>
            <a:t>(generated by Solver): </a:t>
          </a:r>
          <a:r>
            <a:rPr lang="en-US" b="1" u="none">
              <a:solidFill>
                <a:srgbClr val="FF0000"/>
              </a:solidFill>
              <a:effectLst/>
            </a:rPr>
            <a:t>5 points</a:t>
          </a:r>
          <a:endParaRPr lang="en-US" b="1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10</xdr:col>
      <xdr:colOff>219075</xdr:colOff>
      <xdr:row>4</xdr:row>
      <xdr:rowOff>57150</xdr:rowOff>
    </xdr:from>
    <xdr:to>
      <xdr:col>11</xdr:col>
      <xdr:colOff>0</xdr:colOff>
      <xdr:row>7</xdr:row>
      <xdr:rowOff>142875</xdr:rowOff>
    </xdr:to>
    <xdr:sp macro="" textlink="">
      <xdr:nvSpPr>
        <xdr:cNvPr id="8" name="Left Brace 7">
          <a:extLst>
            <a:ext uri="{FF2B5EF4-FFF2-40B4-BE49-F238E27FC236}">
              <a16:creationId xmlns:a16="http://schemas.microsoft.com/office/drawing/2014/main" id="{F7F3C250-261B-77AF-863E-D4F8D02133B7}"/>
            </a:ext>
          </a:extLst>
        </xdr:cNvPr>
        <xdr:cNvSpPr/>
      </xdr:nvSpPr>
      <xdr:spPr>
        <a:xfrm>
          <a:off x="6962775" y="857250"/>
          <a:ext cx="390525" cy="657225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419100</xdr:colOff>
      <xdr:row>4</xdr:row>
      <xdr:rowOff>0</xdr:rowOff>
    </xdr:from>
    <xdr:to>
      <xdr:col>10</xdr:col>
      <xdr:colOff>219075</xdr:colOff>
      <xdr:row>6</xdr:row>
      <xdr:rowOff>4763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D140102-7ABA-4732-AC42-B5D0D2A25D45}"/>
            </a:ext>
          </a:extLst>
        </xdr:cNvPr>
        <xdr:cNvCxnSpPr>
          <a:stCxn id="8" idx="1"/>
          <a:endCxn id="11" idx="1"/>
        </xdr:cNvCxnSpPr>
      </xdr:nvCxnSpPr>
      <xdr:spPr>
        <a:xfrm flipH="1" flipV="1">
          <a:off x="5962650" y="800100"/>
          <a:ext cx="1000125" cy="38576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</xdr:row>
      <xdr:rowOff>19050</xdr:rowOff>
    </xdr:from>
    <xdr:to>
      <xdr:col>8</xdr:col>
      <xdr:colOff>419100</xdr:colOff>
      <xdr:row>5</xdr:row>
      <xdr:rowOff>180975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ACFF3CC9-FFC6-B56D-BD90-5AB2229D6BBE}"/>
            </a:ext>
          </a:extLst>
        </xdr:cNvPr>
        <xdr:cNvSpPr/>
      </xdr:nvSpPr>
      <xdr:spPr>
        <a:xfrm>
          <a:off x="5534025" y="428625"/>
          <a:ext cx="428625" cy="742950"/>
        </a:xfrm>
        <a:prstGeom prst="righ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228600</xdr:colOff>
      <xdr:row>17</xdr:row>
      <xdr:rowOff>123825</xdr:rowOff>
    </xdr:from>
    <xdr:to>
      <xdr:col>11</xdr:col>
      <xdr:colOff>9525</xdr:colOff>
      <xdr:row>22</xdr:row>
      <xdr:rowOff>19050</xdr:rowOff>
    </xdr:to>
    <xdr:sp macro="" textlink="">
      <xdr:nvSpPr>
        <xdr:cNvPr id="13" name="Left Brace 12">
          <a:extLst>
            <a:ext uri="{FF2B5EF4-FFF2-40B4-BE49-F238E27FC236}">
              <a16:creationId xmlns:a16="http://schemas.microsoft.com/office/drawing/2014/main" id="{4CA31890-8DD6-4332-8B73-4F7D9719A622}"/>
            </a:ext>
          </a:extLst>
        </xdr:cNvPr>
        <xdr:cNvSpPr/>
      </xdr:nvSpPr>
      <xdr:spPr>
        <a:xfrm>
          <a:off x="6972300" y="3400425"/>
          <a:ext cx="390525" cy="847725"/>
        </a:xfrm>
        <a:prstGeom prst="lef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7</xdr:row>
      <xdr:rowOff>66675</xdr:rowOff>
    </xdr:from>
    <xdr:to>
      <xdr:col>10</xdr:col>
      <xdr:colOff>276225</xdr:colOff>
      <xdr:row>19</xdr:row>
      <xdr:rowOff>166688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9C34095-B089-4686-9679-7706FB3F19A9}"/>
            </a:ext>
          </a:extLst>
        </xdr:cNvPr>
        <xdr:cNvCxnSpPr/>
      </xdr:nvCxnSpPr>
      <xdr:spPr>
        <a:xfrm flipH="1" flipV="1">
          <a:off x="4905375" y="1438275"/>
          <a:ext cx="2114550" cy="2386013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555812</xdr:colOff>
      <xdr:row>30</xdr:row>
      <xdr:rowOff>116542</xdr:rowOff>
    </xdr:from>
    <xdr:to>
      <xdr:col>21</xdr:col>
      <xdr:colOff>403412</xdr:colOff>
      <xdr:row>54</xdr:row>
      <xdr:rowOff>46506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183B8C-8D27-5922-7380-525EB4462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4612" y="5531224"/>
          <a:ext cx="7772400" cy="42330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3E5F-BB34-4BDD-9AE8-394D52FB474C}">
  <dimension ref="A1:G37"/>
  <sheetViews>
    <sheetView showGridLines="0" workbookViewId="0"/>
  </sheetViews>
  <sheetFormatPr defaultRowHeight="14.4" outlineLevelRow="1" x14ac:dyDescent="0.3"/>
  <cols>
    <col min="1" max="1" width="2.33203125" customWidth="1"/>
    <col min="2" max="2" width="16.88671875" bestFit="1" customWidth="1"/>
    <col min="3" max="3" width="16.109375" bestFit="1" customWidth="1"/>
    <col min="4" max="4" width="12.6640625" bestFit="1" customWidth="1"/>
    <col min="5" max="5" width="11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12" t="s">
        <v>16</v>
      </c>
    </row>
    <row r="2" spans="1:5" x14ac:dyDescent="0.3">
      <c r="A2" s="12" t="s">
        <v>17</v>
      </c>
    </row>
    <row r="3" spans="1:5" x14ac:dyDescent="0.3">
      <c r="A3" s="12" t="s">
        <v>18</v>
      </c>
    </row>
    <row r="4" spans="1:5" x14ac:dyDescent="0.3">
      <c r="A4" s="12" t="s">
        <v>19</v>
      </c>
    </row>
    <row r="5" spans="1:5" x14ac:dyDescent="0.3">
      <c r="A5" s="12" t="s">
        <v>20</v>
      </c>
    </row>
    <row r="6" spans="1:5" hidden="1" outlineLevel="1" x14ac:dyDescent="0.3">
      <c r="A6" s="12"/>
      <c r="B6" t="s">
        <v>21</v>
      </c>
    </row>
    <row r="7" spans="1:5" hidden="1" outlineLevel="1" x14ac:dyDescent="0.3">
      <c r="A7" s="12"/>
      <c r="B7" t="s">
        <v>22</v>
      </c>
    </row>
    <row r="8" spans="1:5" hidden="1" outlineLevel="1" x14ac:dyDescent="0.3">
      <c r="A8" s="12"/>
      <c r="B8" t="s">
        <v>23</v>
      </c>
    </row>
    <row r="9" spans="1:5" collapsed="1" x14ac:dyDescent="0.3">
      <c r="A9" s="12" t="s">
        <v>24</v>
      </c>
    </row>
    <row r="10" spans="1:5" hidden="1" outlineLevel="1" x14ac:dyDescent="0.3">
      <c r="B10" t="s">
        <v>25</v>
      </c>
    </row>
    <row r="11" spans="1:5" hidden="1" outlineLevel="1" x14ac:dyDescent="0.3">
      <c r="B11" t="s">
        <v>26</v>
      </c>
    </row>
    <row r="12" spans="1:5" collapsed="1" x14ac:dyDescent="0.3"/>
    <row r="14" spans="1:5" ht="15" thickBot="1" x14ac:dyDescent="0.35">
      <c r="A14" t="s">
        <v>27</v>
      </c>
    </row>
    <row r="15" spans="1:5" ht="15" thickBot="1" x14ac:dyDescent="0.35">
      <c r="B15" s="14" t="s">
        <v>28</v>
      </c>
      <c r="C15" s="14" t="s">
        <v>29</v>
      </c>
      <c r="D15" s="14" t="s">
        <v>30</v>
      </c>
      <c r="E15" s="14" t="s">
        <v>31</v>
      </c>
    </row>
    <row r="16" spans="1:5" ht="15" thickBot="1" x14ac:dyDescent="0.35">
      <c r="B16" s="13" t="s">
        <v>39</v>
      </c>
      <c r="C16" s="13" t="s">
        <v>40</v>
      </c>
      <c r="D16" s="17">
        <v>0</v>
      </c>
      <c r="E16" s="17">
        <v>2</v>
      </c>
    </row>
    <row r="19" spans="1:7" ht="15" thickBot="1" x14ac:dyDescent="0.35">
      <c r="A19" t="s">
        <v>32</v>
      </c>
    </row>
    <row r="20" spans="1:7" ht="15" thickBot="1" x14ac:dyDescent="0.35">
      <c r="B20" s="14" t="s">
        <v>28</v>
      </c>
      <c r="C20" s="14" t="s">
        <v>29</v>
      </c>
      <c r="D20" s="14" t="s">
        <v>30</v>
      </c>
      <c r="E20" s="14" t="s">
        <v>31</v>
      </c>
      <c r="F20" s="14" t="s">
        <v>33</v>
      </c>
    </row>
    <row r="21" spans="1:7" x14ac:dyDescent="0.3">
      <c r="B21" s="21" t="s">
        <v>64</v>
      </c>
      <c r="C21" s="20"/>
      <c r="D21" s="20"/>
      <c r="E21" s="20"/>
      <c r="F21" s="20"/>
    </row>
    <row r="22" spans="1:7" hidden="1" outlineLevel="1" x14ac:dyDescent="0.3">
      <c r="B22" s="16" t="s">
        <v>41</v>
      </c>
      <c r="C22" s="16" t="s">
        <v>42</v>
      </c>
      <c r="D22" s="18">
        <v>0</v>
      </c>
      <c r="E22" s="18">
        <v>2</v>
      </c>
      <c r="F22" s="16" t="s">
        <v>33</v>
      </c>
    </row>
    <row r="23" spans="1:7" hidden="1" outlineLevel="1" x14ac:dyDescent="0.3">
      <c r="B23" s="16" t="s">
        <v>43</v>
      </c>
      <c r="C23" s="16" t="s">
        <v>44</v>
      </c>
      <c r="D23" s="18">
        <v>0</v>
      </c>
      <c r="E23" s="18">
        <v>1</v>
      </c>
      <c r="F23" s="16" t="s">
        <v>33</v>
      </c>
    </row>
    <row r="24" spans="1:7" hidden="1" outlineLevel="1" x14ac:dyDescent="0.3">
      <c r="B24" s="16" t="s">
        <v>45</v>
      </c>
      <c r="C24" s="16" t="s">
        <v>46</v>
      </c>
      <c r="D24" s="18">
        <v>0</v>
      </c>
      <c r="E24" s="18">
        <v>0</v>
      </c>
      <c r="F24" s="16" t="s">
        <v>33</v>
      </c>
    </row>
    <row r="25" spans="1:7" ht="15" hidden="1" outlineLevel="1" thickBot="1" x14ac:dyDescent="0.35">
      <c r="B25" s="13" t="s">
        <v>47</v>
      </c>
      <c r="C25" s="13" t="s">
        <v>48</v>
      </c>
      <c r="D25" s="17">
        <v>0</v>
      </c>
      <c r="E25" s="17">
        <v>1</v>
      </c>
      <c r="F25" s="13" t="s">
        <v>33</v>
      </c>
    </row>
    <row r="26" spans="1:7" collapsed="1" x14ac:dyDescent="0.3">
      <c r="B26" s="15"/>
      <c r="C26" s="15"/>
      <c r="D26" s="19"/>
      <c r="E26" s="19"/>
      <c r="F26" s="15"/>
    </row>
    <row r="29" spans="1:7" ht="15" thickBot="1" x14ac:dyDescent="0.35">
      <c r="A29" t="s">
        <v>34</v>
      </c>
    </row>
    <row r="30" spans="1:7" ht="15" thickBot="1" x14ac:dyDescent="0.35">
      <c r="B30" s="14" t="s">
        <v>28</v>
      </c>
      <c r="C30" s="14" t="s">
        <v>29</v>
      </c>
      <c r="D30" s="14" t="s">
        <v>35</v>
      </c>
      <c r="E30" s="14" t="s">
        <v>36</v>
      </c>
      <c r="F30" s="14" t="s">
        <v>37</v>
      </c>
      <c r="G30" s="14" t="s">
        <v>38</v>
      </c>
    </row>
    <row r="31" spans="1:7" x14ac:dyDescent="0.3">
      <c r="B31" s="21" t="s">
        <v>65</v>
      </c>
      <c r="C31" s="20"/>
      <c r="D31" s="20"/>
      <c r="E31" s="20"/>
      <c r="F31" s="20"/>
      <c r="G31" s="20"/>
    </row>
    <row r="32" spans="1:7" hidden="1" outlineLevel="1" x14ac:dyDescent="0.3">
      <c r="B32" s="16" t="s">
        <v>49</v>
      </c>
      <c r="C32" s="16" t="s">
        <v>50</v>
      </c>
      <c r="D32" s="18">
        <v>1100</v>
      </c>
      <c r="E32" s="16" t="s">
        <v>51</v>
      </c>
      <c r="F32" s="16" t="s">
        <v>52</v>
      </c>
      <c r="G32" s="18">
        <v>500</v>
      </c>
    </row>
    <row r="33" spans="2:7" hidden="1" outlineLevel="1" x14ac:dyDescent="0.3">
      <c r="B33" s="16" t="s">
        <v>53</v>
      </c>
      <c r="C33" s="16" t="s">
        <v>54</v>
      </c>
      <c r="D33" s="18">
        <v>9</v>
      </c>
      <c r="E33" s="16" t="s">
        <v>55</v>
      </c>
      <c r="F33" s="16" t="s">
        <v>52</v>
      </c>
      <c r="G33" s="18">
        <v>2</v>
      </c>
    </row>
    <row r="34" spans="2:7" hidden="1" outlineLevel="1" x14ac:dyDescent="0.3">
      <c r="B34" s="16" t="s">
        <v>56</v>
      </c>
      <c r="C34" s="16" t="s">
        <v>57</v>
      </c>
      <c r="D34" s="18">
        <v>10</v>
      </c>
      <c r="E34" s="16" t="s">
        <v>58</v>
      </c>
      <c r="F34" s="16" t="s">
        <v>59</v>
      </c>
      <c r="G34" s="18">
        <v>0</v>
      </c>
    </row>
    <row r="35" spans="2:7" hidden="1" outlineLevel="1" x14ac:dyDescent="0.3">
      <c r="B35" s="16" t="s">
        <v>60</v>
      </c>
      <c r="C35" s="16" t="s">
        <v>61</v>
      </c>
      <c r="D35" s="18">
        <v>9</v>
      </c>
      <c r="E35" s="16" t="s">
        <v>62</v>
      </c>
      <c r="F35" s="16" t="s">
        <v>52</v>
      </c>
      <c r="G35" s="18">
        <v>1</v>
      </c>
    </row>
    <row r="36" spans="2:7" collapsed="1" x14ac:dyDescent="0.3">
      <c r="B36" s="16"/>
      <c r="C36" s="16"/>
      <c r="D36" s="18"/>
      <c r="E36" s="16"/>
      <c r="F36" s="16"/>
      <c r="G36" s="18"/>
    </row>
    <row r="37" spans="2:7" ht="15" thickBot="1" x14ac:dyDescent="0.35">
      <c r="B37" s="13" t="s">
        <v>63</v>
      </c>
      <c r="C37" s="13"/>
      <c r="D37" s="13"/>
      <c r="E37" s="13"/>
      <c r="F37" s="13"/>
      <c r="G3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9"/>
  <sheetViews>
    <sheetView tabSelected="1" zoomScale="85" zoomScaleNormal="85" workbookViewId="0"/>
  </sheetViews>
  <sheetFormatPr defaultRowHeight="14.4" x14ac:dyDescent="0.3"/>
  <cols>
    <col min="2" max="2" width="15.5546875" customWidth="1"/>
    <col min="3" max="3" width="10" bestFit="1" customWidth="1"/>
    <col min="4" max="4" width="11" bestFit="1" customWidth="1"/>
    <col min="5" max="5" width="10" bestFit="1" customWidth="1"/>
    <col min="10" max="10" width="8.88671875" customWidth="1"/>
  </cols>
  <sheetData>
    <row r="1" spans="2:32" ht="15" thickBot="1" x14ac:dyDescent="0.35"/>
    <row r="2" spans="2:32" ht="15.6" thickTop="1" thickBot="1" x14ac:dyDescent="0.35">
      <c r="B2" s="3"/>
      <c r="C2" s="3" t="s">
        <v>4</v>
      </c>
      <c r="D2" s="3" t="s">
        <v>9</v>
      </c>
      <c r="E2" s="3" t="s">
        <v>10</v>
      </c>
      <c r="F2" s="3" t="s">
        <v>11</v>
      </c>
      <c r="G2" s="3" t="s">
        <v>0</v>
      </c>
      <c r="H2" s="8" t="s">
        <v>2</v>
      </c>
      <c r="J2" s="2"/>
      <c r="L2" s="11" t="s">
        <v>15</v>
      </c>
      <c r="M2" s="11"/>
      <c r="N2" s="11"/>
    </row>
    <row r="3" spans="2:32" ht="15" thickTop="1" x14ac:dyDescent="0.3">
      <c r="B3" s="9" t="s">
        <v>5</v>
      </c>
      <c r="C3" s="3">
        <v>250</v>
      </c>
      <c r="D3" s="3">
        <v>3</v>
      </c>
      <c r="E3" s="3">
        <v>2</v>
      </c>
      <c r="F3" s="3">
        <v>2</v>
      </c>
      <c r="G3" s="4">
        <v>0.5</v>
      </c>
      <c r="H3" s="5">
        <v>2</v>
      </c>
      <c r="J3" s="2"/>
      <c r="AC3" s="1"/>
      <c r="AD3" s="1"/>
      <c r="AE3" s="1"/>
      <c r="AF3" s="1"/>
    </row>
    <row r="4" spans="2:32" x14ac:dyDescent="0.3">
      <c r="B4" s="9" t="s">
        <v>6</v>
      </c>
      <c r="C4" s="3">
        <v>200</v>
      </c>
      <c r="D4" s="3">
        <v>1</v>
      </c>
      <c r="E4" s="3">
        <v>2</v>
      </c>
      <c r="F4" s="3">
        <v>0</v>
      </c>
      <c r="G4" s="4">
        <v>0.2</v>
      </c>
      <c r="H4" s="5">
        <v>1</v>
      </c>
    </row>
    <row r="5" spans="2:32" x14ac:dyDescent="0.3">
      <c r="B5" s="9" t="s">
        <v>7</v>
      </c>
      <c r="C5" s="3">
        <v>150</v>
      </c>
      <c r="D5" s="3">
        <v>0</v>
      </c>
      <c r="E5" s="3">
        <v>4</v>
      </c>
      <c r="F5" s="3">
        <v>1</v>
      </c>
      <c r="G5" s="4">
        <v>0.3</v>
      </c>
      <c r="H5" s="5">
        <v>0</v>
      </c>
    </row>
    <row r="6" spans="2:32" x14ac:dyDescent="0.3">
      <c r="B6" s="9" t="s">
        <v>8</v>
      </c>
      <c r="C6" s="3">
        <v>400</v>
      </c>
      <c r="D6" s="3">
        <v>2</v>
      </c>
      <c r="E6" s="3">
        <v>4</v>
      </c>
      <c r="F6" s="3">
        <v>5</v>
      </c>
      <c r="G6" s="4">
        <v>0.8</v>
      </c>
      <c r="H6" s="5">
        <v>1</v>
      </c>
    </row>
    <row r="7" spans="2:32" x14ac:dyDescent="0.3">
      <c r="B7" s="10" t="s">
        <v>1</v>
      </c>
      <c r="C7" s="6">
        <f>SUMPRODUCT($H$3:$H$6,C3:C6)</f>
        <v>1100</v>
      </c>
      <c r="D7" s="6">
        <f>SUMPRODUCT($H$3:$H$6,D3:D6)</f>
        <v>9</v>
      </c>
      <c r="E7" s="6">
        <f>SUMPRODUCT($H$3:$H$6,E3:E6)</f>
        <v>10</v>
      </c>
      <c r="F7" s="6">
        <f>SUMPRODUCT($H$3:$H$6,F3:F6)</f>
        <v>9</v>
      </c>
      <c r="G7" s="6">
        <f>SUMPRODUCT($H$3:$H$6,G3:G6)</f>
        <v>2</v>
      </c>
    </row>
    <row r="8" spans="2:32" x14ac:dyDescent="0.3">
      <c r="B8" s="7" t="s">
        <v>3</v>
      </c>
      <c r="C8" s="3">
        <v>600</v>
      </c>
      <c r="D8" s="3">
        <v>7</v>
      </c>
      <c r="E8" s="3">
        <v>10</v>
      </c>
      <c r="F8" s="3">
        <v>8</v>
      </c>
    </row>
    <row r="9" spans="2:32" x14ac:dyDescent="0.3">
      <c r="C9" t="s">
        <v>12</v>
      </c>
      <c r="D9" t="s">
        <v>14</v>
      </c>
      <c r="E9" t="s">
        <v>14</v>
      </c>
      <c r="F9" t="s">
        <v>13</v>
      </c>
    </row>
  </sheetData>
  <mergeCells count="1">
    <mergeCell ref="L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Murad Md Hasibur Rahman</cp:lastModifiedBy>
  <dcterms:created xsi:type="dcterms:W3CDTF">2018-01-10T17:46:26Z</dcterms:created>
  <dcterms:modified xsi:type="dcterms:W3CDTF">2025-02-23T05:58:13Z</dcterms:modified>
</cp:coreProperties>
</file>